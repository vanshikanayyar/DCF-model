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\Desktop\"/>
    </mc:Choice>
  </mc:AlternateContent>
  <xr:revisionPtr revIDLastSave="0" documentId="8_{DAC8083F-2FCB-4446-9721-090D957D6887}" xr6:coauthVersionLast="40" xr6:coauthVersionMax="40" xr10:uidLastSave="{00000000-0000-0000-0000-000000000000}"/>
  <bookViews>
    <workbookView xWindow="0" yWindow="0" windowWidth="20490" windowHeight="8940" xr2:uid="{CD7E3988-288B-4CB5-BDD0-FC1E60DC340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4" i="2" l="1"/>
  <c r="B47" i="2"/>
  <c r="B46" i="2"/>
  <c r="B40" i="2"/>
  <c r="B39" i="2"/>
  <c r="B38" i="2"/>
  <c r="B37" i="2"/>
  <c r="B36" i="2"/>
  <c r="J34" i="2"/>
  <c r="B30" i="2" l="1"/>
  <c r="J36" i="2"/>
  <c r="J35" i="2"/>
  <c r="J33" i="2"/>
  <c r="J31" i="2"/>
  <c r="J30" i="2"/>
  <c r="J29" i="2"/>
  <c r="J28" i="2"/>
  <c r="C18" i="2"/>
  <c r="B22" i="2"/>
  <c r="C22" i="2" s="1"/>
  <c r="D22" i="2" s="1"/>
  <c r="E22" i="2" s="1"/>
  <c r="F22" i="2" s="1"/>
  <c r="G22" i="2" s="1"/>
  <c r="B21" i="2"/>
  <c r="C21" i="2" s="1"/>
  <c r="D21" i="2" s="1"/>
  <c r="E21" i="2" s="1"/>
  <c r="F21" i="2" s="1"/>
  <c r="G21" i="2" s="1"/>
  <c r="B20" i="2"/>
  <c r="C20" i="2" s="1"/>
  <c r="D20" i="2" s="1"/>
  <c r="E20" i="2" s="1"/>
  <c r="F20" i="2" s="1"/>
  <c r="G20" i="2" s="1"/>
  <c r="B8" i="2"/>
  <c r="B28" i="2" l="1"/>
  <c r="B31" i="2" s="1"/>
  <c r="B19" i="2"/>
  <c r="B23" i="2"/>
  <c r="D18" i="2"/>
  <c r="C19" i="2"/>
  <c r="C23" i="2" s="1"/>
  <c r="C54" i="2" s="1"/>
  <c r="C55" i="2" s="1"/>
  <c r="E18" i="2" l="1"/>
  <c r="D19" i="2"/>
  <c r="D23" i="2" s="1"/>
  <c r="D54" i="2" s="1"/>
  <c r="D55" i="2" s="1"/>
  <c r="E19" i="2" l="1"/>
  <c r="E23" i="2" s="1"/>
  <c r="E54" i="2" s="1"/>
  <c r="E55" i="2" s="1"/>
  <c r="F18" i="2"/>
  <c r="F19" i="2" l="1"/>
  <c r="F23" i="2" s="1"/>
  <c r="F54" i="2" s="1"/>
  <c r="F55" i="2" s="1"/>
  <c r="G18" i="2"/>
  <c r="G19" i="2" l="1"/>
  <c r="G23" i="2" s="1"/>
  <c r="G54" i="2" l="1"/>
  <c r="G55" i="2" s="1"/>
  <c r="B56" i="2" s="1"/>
  <c r="B45" i="2"/>
  <c r="B48" i="2" s="1"/>
  <c r="B57" i="2" s="1"/>
  <c r="B59" i="2" l="1"/>
</calcChain>
</file>

<file path=xl/sharedStrings.xml><?xml version="1.0" encoding="utf-8"?>
<sst xmlns="http://schemas.openxmlformats.org/spreadsheetml/2006/main" count="56" uniqueCount="50">
  <si>
    <t>TATA MOTORS</t>
  </si>
  <si>
    <t>AS PER YEAR 2024</t>
  </si>
  <si>
    <t>DCF MODEL VALUATION</t>
  </si>
  <si>
    <t>PARTICULARS</t>
  </si>
  <si>
    <t>VALUES(IN CR)</t>
  </si>
  <si>
    <t>EBIT( OPERATING PROFIT)</t>
  </si>
  <si>
    <t>TAX RATE</t>
  </si>
  <si>
    <t xml:space="preserve">TAX </t>
  </si>
  <si>
    <t>DEPRECIATION AND AMORTIZATION</t>
  </si>
  <si>
    <t>CAPIATL EXPENDITURE(CAP EX)</t>
  </si>
  <si>
    <t>CHANGES IN WORKING CAPITAL</t>
  </si>
  <si>
    <t xml:space="preserve">FREE CASH FLOW </t>
  </si>
  <si>
    <t>PERIOD</t>
  </si>
  <si>
    <t>EBIT(OPERATING PROFIT)</t>
  </si>
  <si>
    <t>CAPITAL EXPENDITURE</t>
  </si>
  <si>
    <t>FREE CASH FLOW</t>
  </si>
  <si>
    <t xml:space="preserve">GROWTH RATE(ASSUMPTION) </t>
  </si>
  <si>
    <t>TAX(20.70%)</t>
  </si>
  <si>
    <t>WACC CALCULATION</t>
  </si>
  <si>
    <t>MARKET RETURN</t>
  </si>
  <si>
    <t>RISKFREE RETURN</t>
  </si>
  <si>
    <t>BETA</t>
  </si>
  <si>
    <t>CAPM(COST OF EQUITY)</t>
  </si>
  <si>
    <t>TOTAL DEBT</t>
  </si>
  <si>
    <t>TOTAL EQUITY</t>
  </si>
  <si>
    <t>COST OF DEBT</t>
  </si>
  <si>
    <t>WACC</t>
  </si>
  <si>
    <t>STOCK 2020</t>
  </si>
  <si>
    <t>STOCK 2021</t>
  </si>
  <si>
    <t>STOCK 2022</t>
  </si>
  <si>
    <t>STOCK 2023</t>
  </si>
  <si>
    <t>MARKET RETURN 2020</t>
  </si>
  <si>
    <t>MARKET RETURN 2021</t>
  </si>
  <si>
    <t>MARKET RETURN 2022</t>
  </si>
  <si>
    <t>MARKET RETURN 2023</t>
  </si>
  <si>
    <t>PRE TAX COST OF DEBT</t>
  </si>
  <si>
    <t>TOTAL DEBT+ EQUITY</t>
  </si>
  <si>
    <t>EQUITY WEIGHT</t>
  </si>
  <si>
    <t>DEBT WEIGHT</t>
  </si>
  <si>
    <t xml:space="preserve">TERMINAL VALUE </t>
  </si>
  <si>
    <t>FCF OF LAST YEAR</t>
  </si>
  <si>
    <t>TERMINAL VALUE</t>
  </si>
  <si>
    <t>PRESENT VALUE OF FCFF</t>
  </si>
  <si>
    <t>FCFF</t>
  </si>
  <si>
    <t>PV OF FCFF</t>
  </si>
  <si>
    <t>SUM</t>
  </si>
  <si>
    <t>PV OF TERMINAL VALUE</t>
  </si>
  <si>
    <t>ENTERPRISE VALUE</t>
  </si>
  <si>
    <t>NIFTY AUTO</t>
  </si>
  <si>
    <t>TERMINAL 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</si>
</sst>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9" fontId="0" fillId="0" borderId="0" xfId="0" applyNumberFormat="1"/>
    <xf numFmtId="10" fontId="0" fillId="0" borderId="0" xfId="0" applyNumberFormat="1"/>
    <xf numFmtId="0" fontId="0" fillId="2" borderId="0" xfId="0" applyFill="1"/>
    <xf numFmtId="0" fontId="2" fillId="0" borderId="0" xfId="0" applyFont="1"/>
    <xf numFmtId="0" fontId="0" fillId="3" borderId="0" xfId="0" applyFill="1"/>
    <xf numFmtId="9" fontId="0" fillId="0" borderId="0" xfId="1" applyFont="1"/>
    <xf numFmtId="2" fontId="0" fillId="0" borderId="0" xfId="0" applyNumberFormat="1"/>
    <xf numFmtId="2" fontId="0" fillId="0" borderId="0" xfId="1" applyNumberFormat="1" applyFont="1"/>
    <xf numFmtId="0" fontId="0" fillId="0" borderId="0" xfId="0" applyFont="1"/>
    <xf numFmtId="1" fontId="0" fillId="0" borderId="0" xfId="1" applyNumberFormat="1" applyFont="1"/>
    <xf numFmtId="16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80298-389A-4E57-9E23-6A3CF14CD5DD}">
  <dimension ref="A1:J59"/>
  <sheetViews>
    <sheetView tabSelected="1" workbookViewId="0">
      <selection activeCell="A15" sqref="A15"/>
    </sheetView>
  </sheetViews>
  <sheetFormatPr defaultRowHeight="15" x14ac:dyDescent="0.25"/>
  <cols>
    <col min="1" max="1" width="50.5703125" customWidth="1"/>
    <col min="2" max="2" width="23" customWidth="1"/>
    <col min="8" max="8" width="13.85546875" customWidth="1"/>
    <col min="9" max="9" width="20.28515625" customWidth="1"/>
  </cols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C3" t="s">
        <v>2</v>
      </c>
    </row>
    <row r="5" spans="1:3" x14ac:dyDescent="0.25">
      <c r="A5" t="s">
        <v>3</v>
      </c>
      <c r="B5" t="s">
        <v>4</v>
      </c>
    </row>
    <row r="6" spans="1:3" x14ac:dyDescent="0.25">
      <c r="A6" t="s">
        <v>5</v>
      </c>
      <c r="B6">
        <v>27955.11</v>
      </c>
    </row>
    <row r="7" spans="1:3" x14ac:dyDescent="0.25">
      <c r="A7" t="s">
        <v>6</v>
      </c>
      <c r="B7" s="2">
        <v>0.3</v>
      </c>
    </row>
    <row r="8" spans="1:3" x14ac:dyDescent="0.25">
      <c r="A8" t="s">
        <v>7</v>
      </c>
      <c r="B8">
        <f>B6*B7</f>
        <v>8386.5329999999994</v>
      </c>
    </row>
    <row r="9" spans="1:3" x14ac:dyDescent="0.25">
      <c r="A9" t="s">
        <v>8</v>
      </c>
      <c r="B9">
        <v>27270.13</v>
      </c>
    </row>
    <row r="10" spans="1:3" x14ac:dyDescent="0.25">
      <c r="A10" t="s">
        <v>9</v>
      </c>
      <c r="B10">
        <v>12974.74</v>
      </c>
    </row>
    <row r="11" spans="1:3" x14ac:dyDescent="0.25">
      <c r="A11" t="s">
        <v>10</v>
      </c>
      <c r="B11">
        <v>1774</v>
      </c>
    </row>
    <row r="12" spans="1:3" x14ac:dyDescent="0.25">
      <c r="A12" t="s">
        <v>16</v>
      </c>
      <c r="B12" s="1">
        <v>0.1</v>
      </c>
    </row>
    <row r="15" spans="1:3" x14ac:dyDescent="0.25">
      <c r="A15" s="3" t="s">
        <v>11</v>
      </c>
      <c r="B15" s="3"/>
    </row>
    <row r="17" spans="1:10" x14ac:dyDescent="0.25">
      <c r="A17" t="s">
        <v>12</v>
      </c>
      <c r="B17">
        <v>0</v>
      </c>
      <c r="C17">
        <v>1</v>
      </c>
      <c r="D17">
        <v>2</v>
      </c>
      <c r="E17">
        <v>3</v>
      </c>
      <c r="F17">
        <v>4</v>
      </c>
      <c r="G17">
        <v>5</v>
      </c>
    </row>
    <row r="18" spans="1:10" x14ac:dyDescent="0.25">
      <c r="A18" t="s">
        <v>13</v>
      </c>
      <c r="B18">
        <v>27955.11</v>
      </c>
      <c r="C18">
        <f>B18*(1+$B$12)^C17</f>
        <v>30750.621000000003</v>
      </c>
      <c r="D18">
        <f>C18*(1+$B$12)^D17</f>
        <v>37208.251410000012</v>
      </c>
      <c r="E18">
        <f>D18*(1+$B$12)^E17</f>
        <v>49524.182626710033</v>
      </c>
      <c r="F18">
        <f>E18*(1+$B$12)^F17</f>
        <v>72508.355783766179</v>
      </c>
      <c r="G18">
        <f>F18*(1+$B$12)^G17</f>
        <v>116775.43207331331</v>
      </c>
    </row>
    <row r="19" spans="1:10" x14ac:dyDescent="0.25">
      <c r="A19" t="s">
        <v>17</v>
      </c>
      <c r="B19">
        <f>B8</f>
        <v>8386.5329999999994</v>
      </c>
      <c r="C19">
        <f>C18*$B$7</f>
        <v>9225.1863000000012</v>
      </c>
      <c r="D19">
        <f t="shared" ref="D19:G19" si="0">D18*$B$7</f>
        <v>11162.475423000004</v>
      </c>
      <c r="E19">
        <f t="shared" si="0"/>
        <v>14857.25478801301</v>
      </c>
      <c r="F19">
        <f t="shared" si="0"/>
        <v>21752.506735129853</v>
      </c>
      <c r="G19">
        <f t="shared" si="0"/>
        <v>35032.62962199399</v>
      </c>
    </row>
    <row r="20" spans="1:10" x14ac:dyDescent="0.25">
      <c r="A20" t="s">
        <v>8</v>
      </c>
      <c r="B20">
        <f>B9</f>
        <v>27270.13</v>
      </c>
      <c r="C20">
        <f>B20*(1+$B$12)^C17</f>
        <v>29997.143000000004</v>
      </c>
      <c r="D20">
        <f t="shared" ref="D20:G20" si="1">C20*(1+$B$12)^D17</f>
        <v>36296.543030000008</v>
      </c>
      <c r="E20">
        <f t="shared" si="1"/>
        <v>48310.698772930024</v>
      </c>
      <c r="F20">
        <f t="shared" si="1"/>
        <v>70731.694073446866</v>
      </c>
      <c r="G20">
        <f t="shared" si="1"/>
        <v>113914.10062222695</v>
      </c>
    </row>
    <row r="21" spans="1:10" x14ac:dyDescent="0.25">
      <c r="A21" t="s">
        <v>14</v>
      </c>
      <c r="B21">
        <f>B10</f>
        <v>12974.74</v>
      </c>
      <c r="C21">
        <f>B21*(1+$B$12)^C17</f>
        <v>14272.214000000002</v>
      </c>
      <c r="D21">
        <f t="shared" ref="D21:G21" si="2">C21*(1+$B$12)^D17</f>
        <v>17269.378940000006</v>
      </c>
      <c r="E21">
        <f t="shared" si="2"/>
        <v>22985.543369140014</v>
      </c>
      <c r="F21">
        <f t="shared" si="2"/>
        <v>33653.134046757907</v>
      </c>
      <c r="G21">
        <f t="shared" si="2"/>
        <v>54198.708913644092</v>
      </c>
    </row>
    <row r="22" spans="1:10" x14ac:dyDescent="0.25">
      <c r="A22" t="s">
        <v>10</v>
      </c>
      <c r="B22">
        <f>B11</f>
        <v>1774</v>
      </c>
      <c r="C22">
        <f>B22*(1+$B$12)^C17</f>
        <v>1951.4</v>
      </c>
      <c r="D22">
        <f t="shared" ref="D22:G22" si="3">C22*(1+$B$12)^D17</f>
        <v>2361.1940000000004</v>
      </c>
      <c r="E22">
        <f t="shared" si="3"/>
        <v>3142.7492140000013</v>
      </c>
      <c r="F22">
        <f t="shared" si="3"/>
        <v>4601.299124217403</v>
      </c>
      <c r="G22">
        <f t="shared" si="3"/>
        <v>7410.4382525433721</v>
      </c>
    </row>
    <row r="23" spans="1:10" x14ac:dyDescent="0.25">
      <c r="A23" s="4" t="s">
        <v>15</v>
      </c>
      <c r="B23">
        <f>B18-(B19+B21+B22)+B20</f>
        <v>32089.967000000001</v>
      </c>
      <c r="C23">
        <f t="shared" ref="C23:G23" si="4">C18-(C19+C21+C22)+C20</f>
        <v>35298.963700000008</v>
      </c>
      <c r="D23">
        <f t="shared" si="4"/>
        <v>42711.746077000011</v>
      </c>
      <c r="E23">
        <f t="shared" si="4"/>
        <v>56849.334028487028</v>
      </c>
      <c r="F23">
        <f t="shared" si="4"/>
        <v>83233.109951107879</v>
      </c>
      <c r="G23">
        <f t="shared" si="4"/>
        <v>134047.75590735878</v>
      </c>
    </row>
    <row r="26" spans="1:10" x14ac:dyDescent="0.25">
      <c r="A26" s="5" t="s">
        <v>18</v>
      </c>
    </row>
    <row r="28" spans="1:10" x14ac:dyDescent="0.25">
      <c r="A28" t="s">
        <v>19</v>
      </c>
      <c r="B28" s="6">
        <f>AVERAGE(J33:J36)</f>
        <v>0.17000208359828259</v>
      </c>
      <c r="H28" t="s">
        <v>0</v>
      </c>
      <c r="I28" t="s">
        <v>27</v>
      </c>
      <c r="J28" s="6">
        <f>(93.25-214.3)/214.3</f>
        <v>-0.56486234251049927</v>
      </c>
    </row>
    <row r="29" spans="1:10" x14ac:dyDescent="0.25">
      <c r="A29" t="s">
        <v>20</v>
      </c>
      <c r="B29" s="1">
        <v>6.83E-2</v>
      </c>
      <c r="I29" t="s">
        <v>28</v>
      </c>
      <c r="J29" s="6">
        <f>(293.85-93.25)/93.25</f>
        <v>2.1512064343163542</v>
      </c>
    </row>
    <row r="30" spans="1:10" x14ac:dyDescent="0.25">
      <c r="A30" t="s">
        <v>21</v>
      </c>
      <c r="B30" s="7">
        <f>SLOPE(J28:J31,J33:J36)</f>
        <v>2.9062981799729735</v>
      </c>
      <c r="I30" t="s">
        <v>29</v>
      </c>
      <c r="J30" s="6">
        <f>(437.6-293.85)/293.85</f>
        <v>0.48919516760251824</v>
      </c>
    </row>
    <row r="31" spans="1:10" x14ac:dyDescent="0.25">
      <c r="A31" t="s">
        <v>22</v>
      </c>
      <c r="B31" s="8">
        <f>(B29+(B30*(B28-B29)))*100</f>
        <v>36.387658046114794</v>
      </c>
      <c r="I31" t="s">
        <v>30</v>
      </c>
      <c r="J31" s="6">
        <f>(484.95-437.6)/437.6</f>
        <v>0.10820383912248621</v>
      </c>
    </row>
    <row r="32" spans="1:10" x14ac:dyDescent="0.25">
      <c r="A32" t="s">
        <v>23</v>
      </c>
      <c r="B32">
        <v>106549</v>
      </c>
    </row>
    <row r="33" spans="1:10" x14ac:dyDescent="0.25">
      <c r="A33" t="s">
        <v>24</v>
      </c>
      <c r="B33">
        <v>238651.5</v>
      </c>
      <c r="H33" t="s">
        <v>48</v>
      </c>
      <c r="I33" t="s">
        <v>31</v>
      </c>
      <c r="J33" s="6">
        <f>(5901.4-8350.6)/8350.6</f>
        <v>-0.29329629008693991</v>
      </c>
    </row>
    <row r="34" spans="1:10" x14ac:dyDescent="0.25">
      <c r="A34" t="s">
        <v>35</v>
      </c>
      <c r="B34" s="2">
        <v>9.3700000000000006E-2</v>
      </c>
      <c r="I34" t="s">
        <v>32</v>
      </c>
      <c r="J34" s="6">
        <f>(9640.85-5901.4)/5901.4</f>
        <v>0.63365472599722117</v>
      </c>
    </row>
    <row r="35" spans="1:10" x14ac:dyDescent="0.25">
      <c r="A35" t="s">
        <v>6</v>
      </c>
      <c r="B35" s="2">
        <v>0.3</v>
      </c>
      <c r="C35" s="2"/>
      <c r="I35" t="s">
        <v>33</v>
      </c>
      <c r="J35" s="6">
        <f>(11078.11-9640.85)/9640.85</f>
        <v>0.149080215956062</v>
      </c>
    </row>
    <row r="36" spans="1:10" x14ac:dyDescent="0.25">
      <c r="A36" s="9" t="s">
        <v>25</v>
      </c>
      <c r="B36" s="2">
        <f>B34*(1-0.3)</f>
        <v>6.5589999999999996E-2</v>
      </c>
      <c r="I36" t="s">
        <v>34</v>
      </c>
      <c r="J36" s="6">
        <f>(13189.25-11078.1)/11078.1</f>
        <v>0.19056968252678705</v>
      </c>
    </row>
    <row r="37" spans="1:10" x14ac:dyDescent="0.25">
      <c r="A37" s="9" t="s">
        <v>36</v>
      </c>
      <c r="B37" s="7">
        <f>SUM(B32:B33)</f>
        <v>345200.5</v>
      </c>
      <c r="J37" s="6"/>
    </row>
    <row r="38" spans="1:10" x14ac:dyDescent="0.25">
      <c r="A38" s="9" t="s">
        <v>37</v>
      </c>
      <c r="B38" s="2">
        <f>B33/B37</f>
        <v>0.69134169852013538</v>
      </c>
      <c r="J38" s="6"/>
    </row>
    <row r="39" spans="1:10" x14ac:dyDescent="0.25">
      <c r="A39" s="9" t="s">
        <v>38</v>
      </c>
      <c r="B39" s="2">
        <f>B32/B37</f>
        <v>0.30865830147986462</v>
      </c>
      <c r="J39" s="6"/>
    </row>
    <row r="40" spans="1:10" x14ac:dyDescent="0.25">
      <c r="A40" s="4" t="s">
        <v>26</v>
      </c>
      <c r="B40" s="10">
        <f>((B31*B38)+(B36*B39))</f>
        <v>25.176550216764937</v>
      </c>
      <c r="E40" s="2"/>
      <c r="F40" s="2"/>
    </row>
    <row r="41" spans="1:10" x14ac:dyDescent="0.25">
      <c r="E41" s="2"/>
      <c r="F41" s="2"/>
    </row>
    <row r="43" spans="1:10" x14ac:dyDescent="0.25">
      <c r="A43" s="5" t="s">
        <v>39</v>
      </c>
    </row>
    <row r="45" spans="1:10" x14ac:dyDescent="0.25">
      <c r="A45" t="s">
        <v>40</v>
      </c>
      <c r="B45">
        <f>G23</f>
        <v>134047.75590735878</v>
      </c>
    </row>
    <row r="46" spans="1:10" x14ac:dyDescent="0.25">
      <c r="A46" t="s">
        <v>49</v>
      </c>
      <c r="B46" s="1">
        <f>B12</f>
        <v>0.1</v>
      </c>
    </row>
    <row r="47" spans="1:10" x14ac:dyDescent="0.25">
      <c r="A47" t="s">
        <v>26</v>
      </c>
      <c r="B47" s="10">
        <f>B40</f>
        <v>25.176550216764937</v>
      </c>
    </row>
    <row r="48" spans="1:10" x14ac:dyDescent="0.25">
      <c r="A48" s="4" t="s">
        <v>41</v>
      </c>
      <c r="B48">
        <f>((B45*(1+B46))/(B47-B46))</f>
        <v>5880.0963539041841</v>
      </c>
    </row>
    <row r="51" spans="1:7" x14ac:dyDescent="0.25">
      <c r="A51" s="5" t="s">
        <v>42</v>
      </c>
    </row>
    <row r="53" spans="1:7" x14ac:dyDescent="0.25">
      <c r="A53" t="s">
        <v>12</v>
      </c>
      <c r="B53">
        <v>0</v>
      </c>
      <c r="C53">
        <v>1</v>
      </c>
      <c r="D53">
        <v>2</v>
      </c>
      <c r="E53">
        <v>3</v>
      </c>
      <c r="F53">
        <v>4</v>
      </c>
      <c r="G53">
        <v>5</v>
      </c>
    </row>
    <row r="54" spans="1:7" x14ac:dyDescent="0.25">
      <c r="A54" t="s">
        <v>43</v>
      </c>
      <c r="B54">
        <f>B18</f>
        <v>27955.11</v>
      </c>
      <c r="C54">
        <f>C23</f>
        <v>35298.963700000008</v>
      </c>
      <c r="D54">
        <f>D23</f>
        <v>42711.746077000011</v>
      </c>
      <c r="E54">
        <f>E23</f>
        <v>56849.334028487028</v>
      </c>
      <c r="F54">
        <f>F23</f>
        <v>83233.109951107879</v>
      </c>
      <c r="G54">
        <f>G23</f>
        <v>134047.75590735878</v>
      </c>
    </row>
    <row r="55" spans="1:7" x14ac:dyDescent="0.25">
      <c r="A55" t="s">
        <v>44</v>
      </c>
      <c r="C55">
        <f>((C54)*(1/(1+$B$47))^C53)</f>
        <v>1348.4956347453517</v>
      </c>
      <c r="D55">
        <f t="shared" ref="D55:G55" si="5">((D54)*(1/(1+$B$47))^D53)</f>
        <v>62.33364230695517</v>
      </c>
      <c r="E55">
        <f t="shared" si="5"/>
        <v>3.1694809752822661</v>
      </c>
      <c r="F55">
        <f t="shared" si="5"/>
        <v>0.17727458574502186</v>
      </c>
      <c r="G55">
        <f t="shared" si="5"/>
        <v>1.0906803636231763E-2</v>
      </c>
    </row>
    <row r="56" spans="1:7" x14ac:dyDescent="0.25">
      <c r="A56" t="s">
        <v>45</v>
      </c>
      <c r="B56">
        <f>SUM(C55:G55)</f>
        <v>1414.1869394169705</v>
      </c>
    </row>
    <row r="57" spans="1:7" x14ac:dyDescent="0.25">
      <c r="A57" t="s">
        <v>46</v>
      </c>
      <c r="B57" s="11">
        <f>((B48)*(1/(1+$B$47))^G53)</f>
        <v>4.7843438974448806E-4</v>
      </c>
    </row>
    <row r="59" spans="1:7" x14ac:dyDescent="0.25">
      <c r="A59" s="4" t="s">
        <v>47</v>
      </c>
      <c r="B59" s="11">
        <f>B56+B57</f>
        <v>1414.1874178513604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2025-04-22T16:35:55Z</dcterms:created>
  <dcterms:modified xsi:type="dcterms:W3CDTF">2025-04-22T19:25:36Z</dcterms:modified>
</cp:coreProperties>
</file>